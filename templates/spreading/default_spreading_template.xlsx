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Spreading" sheetId="1" state="visible" r:id="rId1"/>
    <sheet xmlns:r="http://schemas.openxmlformats.org/officeDocument/2006/relationships" name="Collateral &amp; Exposu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Metric</t>
        </is>
      </c>
      <c r="B1" s="1" t="inlineStr">
        <is>
          <t>FY-2</t>
        </is>
      </c>
      <c r="C1" s="1" t="inlineStr">
        <is>
          <t>FY-1</t>
        </is>
      </c>
      <c r="D1" s="1" t="inlineStr">
        <is>
          <t>FY-Current</t>
        </is>
      </c>
    </row>
    <row r="2">
      <c r="A2" s="2" t="inlineStr">
        <is>
          <t>Profit &amp; Loss</t>
        </is>
      </c>
    </row>
    <row r="3">
      <c r="A3" t="inlineStr">
        <is>
          <t>Revenue</t>
        </is>
      </c>
    </row>
    <row r="4">
      <c r="A4" t="inlineStr">
        <is>
          <t>Cost of Goods Sold</t>
        </is>
      </c>
    </row>
    <row r="5">
      <c r="A5" t="inlineStr">
        <is>
          <t>Gross Profit</t>
        </is>
      </c>
      <c r="B5">
        <f>B3-B4</f>
        <v/>
      </c>
      <c r="C5">
        <f>C3-C4</f>
        <v/>
      </c>
      <c r="D5">
        <f>D3-D4</f>
        <v/>
      </c>
    </row>
    <row r="6">
      <c r="A6" t="inlineStr">
        <is>
          <t>Gross Profit Margin %</t>
        </is>
      </c>
      <c r="B6">
        <f>IFERROR(B5/B3,0)</f>
        <v/>
      </c>
      <c r="C6">
        <f>IFERROR(C5/C3,0)</f>
        <v/>
      </c>
      <c r="D6">
        <f>IFERROR(D5/D3,0)</f>
        <v/>
      </c>
    </row>
    <row r="7">
      <c r="A7" t="inlineStr">
        <is>
          <t>Admin Expenses</t>
        </is>
      </c>
    </row>
    <row r="8">
      <c r="A8" t="inlineStr">
        <is>
          <t>Depreciation</t>
        </is>
      </c>
    </row>
    <row r="9">
      <c r="A9" t="inlineStr">
        <is>
          <t>Amortisation</t>
        </is>
      </c>
    </row>
    <row r="10">
      <c r="A10" t="inlineStr">
        <is>
          <t>Other Income</t>
        </is>
      </c>
    </row>
    <row r="11">
      <c r="A11" t="inlineStr">
        <is>
          <t>Operating Profit</t>
        </is>
      </c>
      <c r="B11">
        <f>B5-B7-B8-B9+B10</f>
        <v/>
      </c>
      <c r="C11">
        <f>C5-C7-C8-C9+C10</f>
        <v/>
      </c>
      <c r="D11">
        <f>D5-D7-D8-D9+D10</f>
        <v/>
      </c>
    </row>
    <row r="12">
      <c r="A12" t="inlineStr">
        <is>
          <t>Operating Margin %</t>
        </is>
      </c>
      <c r="B12">
        <f>IFERROR(B11/B3,0)</f>
        <v/>
      </c>
      <c r="C12">
        <f>IFERROR(C11/C3,0)</f>
        <v/>
      </c>
      <c r="D12">
        <f>IFERROR(D11/D3,0)</f>
        <v/>
      </c>
    </row>
    <row r="13">
      <c r="A13" t="inlineStr">
        <is>
          <t>EBITDA</t>
        </is>
      </c>
      <c r="B13">
        <f>B11+B8+B9</f>
        <v/>
      </c>
      <c r="C13">
        <f>C11+C8+C9</f>
        <v/>
      </c>
      <c r="D13">
        <f>D11+D8+D9</f>
        <v/>
      </c>
    </row>
    <row r="14">
      <c r="A14" t="inlineStr">
        <is>
          <t>Interest Paid</t>
        </is>
      </c>
    </row>
    <row r="15">
      <c r="A15" t="inlineStr">
        <is>
          <t>Interest Received</t>
        </is>
      </c>
    </row>
    <row r="16">
      <c r="A16" t="inlineStr">
        <is>
          <t>Exceptional Costs / (Income)</t>
        </is>
      </c>
    </row>
    <row r="17">
      <c r="A17" t="inlineStr">
        <is>
          <t>Profit Before Tax</t>
        </is>
      </c>
      <c r="B17">
        <f>B11-B14+B15-B16</f>
        <v/>
      </c>
      <c r="C17">
        <f>C11-C14+C15-C16</f>
        <v/>
      </c>
      <c r="D17">
        <f>D11-D14+D15-D16</f>
        <v/>
      </c>
    </row>
    <row r="18">
      <c r="A18" t="inlineStr">
        <is>
          <t>Tax</t>
        </is>
      </c>
    </row>
    <row r="19">
      <c r="A19" t="inlineStr">
        <is>
          <t>Net Profit</t>
        </is>
      </c>
      <c r="B19">
        <f>B17-B18</f>
        <v/>
      </c>
      <c r="C19">
        <f>C17-C18</f>
        <v/>
      </c>
      <c r="D19">
        <f>D17-D18</f>
        <v/>
      </c>
    </row>
    <row r="20">
      <c r="A20" s="2" t="inlineStr">
        <is>
          <t>Key Ratios</t>
        </is>
      </c>
    </row>
    <row r="21">
      <c r="A21" t="inlineStr">
        <is>
          <t>DSCR</t>
        </is>
      </c>
    </row>
    <row r="22">
      <c r="A22" t="inlineStr">
        <is>
          <t>EBIT/Interest</t>
        </is>
      </c>
      <c r="B22">
        <f>IFERROR(B11/B14,0)</f>
        <v/>
      </c>
      <c r="C22">
        <f>IFERROR(C11/C14,0)</f>
        <v/>
      </c>
      <c r="D22">
        <f>IFERROR(D11/D14,0)</f>
        <v/>
      </c>
    </row>
    <row r="23">
      <c r="A23" t="inlineStr">
        <is>
          <t>EBITDA/Interest</t>
        </is>
      </c>
      <c r="B23">
        <f>IFERROR(B13/B14,0)</f>
        <v/>
      </c>
      <c r="C23">
        <f>IFERROR(C13/C14,0)</f>
        <v/>
      </c>
      <c r="D23">
        <f>IFERROR(D13/D14,0)</f>
        <v/>
      </c>
    </row>
    <row r="24">
      <c r="A24" t="inlineStr">
        <is>
          <t>Gross Leverage</t>
        </is>
      </c>
    </row>
    <row r="25">
      <c r="A25" s="2" t="inlineStr">
        <is>
          <t>Balance Sheet</t>
        </is>
      </c>
    </row>
    <row r="26">
      <c r="A26" t="inlineStr">
        <is>
          <t>Tangible Fixed Assets</t>
        </is>
      </c>
    </row>
    <row r="27">
      <c r="A27" t="inlineStr">
        <is>
          <t>Intangible Fixed Assets</t>
        </is>
      </c>
    </row>
    <row r="28">
      <c r="A28" t="inlineStr">
        <is>
          <t>Investments</t>
        </is>
      </c>
    </row>
    <row r="29">
      <c r="A29" t="inlineStr">
        <is>
          <t>Total Fixed Assets</t>
        </is>
      </c>
      <c r="B29">
        <f>SUM(B26:B28)</f>
        <v/>
      </c>
      <c r="C29">
        <f>SUM(C26:C28)</f>
        <v/>
      </c>
      <c r="D29">
        <f>SUM(D26:D28)</f>
        <v/>
      </c>
    </row>
    <row r="30">
      <c r="A30" t="inlineStr">
        <is>
          <t>Cash</t>
        </is>
      </c>
    </row>
    <row r="31">
      <c r="A31" t="inlineStr">
        <is>
          <t>Accounts Receivable</t>
        </is>
      </c>
    </row>
    <row r="32">
      <c r="A32" t="inlineStr">
        <is>
          <t>Stock</t>
        </is>
      </c>
    </row>
    <row r="33">
      <c r="A33" t="inlineStr">
        <is>
          <t>Other Current Assets</t>
        </is>
      </c>
    </row>
    <row r="34">
      <c r="A34" t="inlineStr">
        <is>
          <t>Total Current Assets</t>
        </is>
      </c>
      <c r="B34">
        <f>SUM(B30:B33)</f>
        <v/>
      </c>
      <c r="C34">
        <f>SUM(C30:C33)</f>
        <v/>
      </c>
      <c r="D34">
        <f>SUM(D30:D33)</f>
        <v/>
      </c>
    </row>
    <row r="35">
      <c r="A35" t="inlineStr">
        <is>
          <t>Total Assets</t>
        </is>
      </c>
      <c r="B35">
        <f>B29+B34</f>
        <v/>
      </c>
      <c r="C35">
        <f>C29+C34</f>
        <v/>
      </c>
      <c r="D35">
        <f>D29+D34</f>
        <v/>
      </c>
    </row>
    <row r="36">
      <c r="A36" t="inlineStr">
        <is>
          <t>Accounts Payable</t>
        </is>
      </c>
    </row>
    <row r="37">
      <c r="A37" t="inlineStr">
        <is>
          <t>Current Portion - Debt</t>
        </is>
      </c>
    </row>
    <row r="38">
      <c r="A38" t="inlineStr">
        <is>
          <t>Overdraft / Revolving Debt</t>
        </is>
      </c>
    </row>
    <row r="39">
      <c r="A39" t="inlineStr">
        <is>
          <t>Other Current Liabilities</t>
        </is>
      </c>
    </row>
    <row r="40">
      <c r="A40" t="inlineStr">
        <is>
          <t>Total Current Liabilities</t>
        </is>
      </c>
      <c r="B40">
        <f>SUM(B36:B39)</f>
        <v/>
      </c>
      <c r="C40">
        <f>SUM(C36:C39)</f>
        <v/>
      </c>
      <c r="D40">
        <f>SUM(D36:D39)</f>
        <v/>
      </c>
    </row>
    <row r="41">
      <c r="A41" t="inlineStr">
        <is>
          <t>Long Term Debt</t>
        </is>
      </c>
    </row>
    <row r="42">
      <c r="A42" t="inlineStr">
        <is>
          <t>Loan Notes / Preference Shares</t>
        </is>
      </c>
    </row>
    <row r="43">
      <c r="A43" t="inlineStr">
        <is>
          <t>Other Long Term Liabilities</t>
        </is>
      </c>
    </row>
    <row r="44">
      <c r="A44" t="inlineStr">
        <is>
          <t>Provisions</t>
        </is>
      </c>
    </row>
    <row r="45">
      <c r="A45" t="inlineStr">
        <is>
          <t>Total Long Term Liabilities</t>
        </is>
      </c>
      <c r="B45">
        <f>SUM(B41:B44)</f>
        <v/>
      </c>
      <c r="C45">
        <f>SUM(C41:C44)</f>
        <v/>
      </c>
      <c r="D45">
        <f>SUM(D41:D44)</f>
        <v/>
      </c>
    </row>
    <row r="46">
      <c r="A46" t="inlineStr">
        <is>
          <t>Total Liabilities</t>
        </is>
      </c>
      <c r="B46">
        <f>B40+B45</f>
        <v/>
      </c>
      <c r="C46">
        <f>C40+C45</f>
        <v/>
      </c>
      <c r="D46">
        <f>D40+D45</f>
        <v/>
      </c>
    </row>
    <row r="47">
      <c r="A47" t="inlineStr">
        <is>
          <t>Share Capital</t>
        </is>
      </c>
    </row>
    <row r="48">
      <c r="A48" t="inlineStr">
        <is>
          <t>Retained Profit</t>
        </is>
      </c>
    </row>
    <row r="49">
      <c r="A49" t="inlineStr">
        <is>
          <t>Total Equity</t>
        </is>
      </c>
      <c r="B49">
        <f>SUM(B47:B48)</f>
        <v/>
      </c>
      <c r="C49">
        <f>SUM(C47:C48)</f>
        <v/>
      </c>
      <c r="D49">
        <f>SUM(D47:D48)</f>
        <v/>
      </c>
    </row>
    <row r="50">
      <c r="A50" s="2" t="inlineStr">
        <is>
          <t>Key Credit Metrics</t>
        </is>
      </c>
    </row>
    <row r="51">
      <c r="A51" t="inlineStr">
        <is>
          <t>Tangible Net Worth (TNW)</t>
        </is>
      </c>
      <c r="B51">
        <f>B49-B27</f>
        <v/>
      </c>
      <c r="C51">
        <f>C49-C27</f>
        <v/>
      </c>
      <c r="D51">
        <f>D49-D27</f>
        <v/>
      </c>
    </row>
    <row r="52">
      <c r="A52" t="inlineStr">
        <is>
          <t>TNW + Loan Notes / Preference Shares</t>
        </is>
      </c>
      <c r="B52">
        <f>B51+B42</f>
        <v/>
      </c>
      <c r="C52">
        <f>C51+C42</f>
        <v/>
      </c>
      <c r="D52">
        <f>D51+D42</f>
        <v/>
      </c>
    </row>
    <row r="53">
      <c r="A53" t="inlineStr">
        <is>
          <t>Gearing % (Interest-Bearing Debt / Equity)</t>
        </is>
      </c>
      <c r="B53">
        <f>IFERROR((B37+B38+B41+B42)/B49,0)</f>
        <v/>
      </c>
      <c r="C53">
        <f>IFERROR((C37+C38+C41+C42)/C49,0)</f>
        <v/>
      </c>
      <c r="D53">
        <f>IFERROR((D37+D38+D41+D42)/D49,0)</f>
        <v/>
      </c>
    </row>
    <row r="54">
      <c r="A54" t="inlineStr">
        <is>
          <t>Current Ratio</t>
        </is>
      </c>
      <c r="B54">
        <f>IFERROR(B34/B40,0)</f>
        <v/>
      </c>
      <c r="C54">
        <f>IFERROR(C34/C40,0)</f>
        <v/>
      </c>
      <c r="D54">
        <f>IFERROR(D34/D40,0)</f>
        <v/>
      </c>
    </row>
    <row r="55">
      <c r="A55" s="2" t="inlineStr">
        <is>
          <t>Working Capital</t>
        </is>
      </c>
    </row>
    <row r="56">
      <c r="A56" t="inlineStr">
        <is>
          <t>Trade Debtor Days</t>
        </is>
      </c>
    </row>
    <row r="57">
      <c r="A57" t="inlineStr">
        <is>
          <t>Trade Creditor Days</t>
        </is>
      </c>
    </row>
    <row r="58">
      <c r="A58" t="inlineStr">
        <is>
          <t>Stock Days</t>
        </is>
      </c>
    </row>
    <row r="59">
      <c r="A59" t="inlineStr">
        <is>
          <t>Working Capital Cycle (days)</t>
        </is>
      </c>
      <c r="B59">
        <f>B56+B58-B57</f>
        <v/>
      </c>
      <c r="C59">
        <f>C56+C58-C57</f>
        <v/>
      </c>
      <c r="D59">
        <f>D56+D58-D57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Asset Class</t>
        </is>
      </c>
      <c r="B1" s="1" t="inlineStr">
        <is>
          <t>Exposure (Rental + RV)</t>
        </is>
      </c>
      <c r="C1" s="1" t="inlineStr">
        <is>
          <t>Number of Units</t>
        </is>
      </c>
      <c r="D1" s="1" t="inlineStr">
        <is>
          <t>Cap / Model Value</t>
        </is>
      </c>
      <c r="E1" s="1" t="inlineStr">
        <is>
          <t>Non-Recovery</t>
        </is>
      </c>
      <c r="F1" s="1" t="inlineStr">
        <is>
          <t>Costs</t>
        </is>
      </c>
      <c r="G1" s="1" t="inlineStr">
        <is>
          <t>Collateral Value</t>
        </is>
      </c>
      <c r="H1" s="1" t="inlineStr">
        <is>
          <t>CV % of Exposure</t>
        </is>
      </c>
    </row>
    <row r="2">
      <c r="A2" t="inlineStr">
        <is>
          <t>[Asset class]</t>
        </is>
      </c>
      <c r="H2">
        <f>IFERROR(G2/B2,0)</f>
        <v/>
      </c>
    </row>
    <row r="3">
      <c r="A3" t="inlineStr">
        <is>
          <t>Total</t>
        </is>
      </c>
      <c r="B3">
        <f>SUM(B2:B2)</f>
        <v/>
      </c>
      <c r="C3">
        <f>SUM(C2:C2)</f>
        <v/>
      </c>
      <c r="D3">
        <f>SUM(D2:D2)</f>
        <v/>
      </c>
      <c r="E3">
        <f>SUM(E2:E2)</f>
        <v/>
      </c>
      <c r="F3">
        <f>SUM(F2:F2)</f>
        <v/>
      </c>
      <c r="G3">
        <f>SUM(G2:G2)</f>
        <v/>
      </c>
      <c r="H3">
        <f>IFERROR(G3/B3,0)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2026-09-12T20:32:52Z</dcterms:created>
  <dcterms:modified xmlns:dcterms="http://purl.org/dc/terms/" xmlns:xsi="http://www.w3.org/2001/XMLSchema-instance" xsi:type="dcterms:W3CDTF">2026-09-12T20:32:52Z</dcterms:modified>
</cp:coreProperties>
</file>