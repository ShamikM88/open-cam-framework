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preading" sheetId="1" state="visible" r:id="rId1"/>
    <sheet xmlns:r="http://schemas.openxmlformats.org/officeDocument/2006/relationships" name="Collateral &amp; Expos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Leverage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Spreading'!$A$58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Spreading'!$B$1:$G$1</f>
            </numRef>
          </cat>
          <val>
            <numRef>
              <f>'Financial Spreading'!$B$58:$G$58</f>
            </numRef>
          </val>
        </ser>
        <ser>
          <idx val="1"/>
          <order val="1"/>
          <tx>
            <strRef>
              <f>'Financial Spreading'!$A$59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Spreading'!$B$1:$G$1</f>
            </numRef>
          </cat>
          <val>
            <numRef>
              <f>'Financial Spreading'!$B$59:$G$59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Spreading'!$A$3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Spreading'!$B$1:$G$1</f>
            </numRef>
          </cat>
          <val>
            <numRef>
              <f>'Financial Spreading'!$B$3:$G$3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83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Metric</t>
        </is>
      </c>
      <c r="B1" s="1" t="inlineStr">
        <is>
          <t>FY-2</t>
        </is>
      </c>
      <c r="C1" s="1" t="inlineStr">
        <is>
          <t>FY-1</t>
        </is>
      </c>
      <c r="D1" s="1" t="inlineStr">
        <is>
          <t>FY-Current</t>
        </is>
      </c>
      <c r="E1" s="1" t="inlineStr">
        <is>
          <t>FY+1</t>
        </is>
      </c>
      <c r="F1" s="1" t="inlineStr">
        <is>
          <t>FY+2</t>
        </is>
      </c>
      <c r="G1" s="1" t="inlineStr">
        <is>
          <t>FY+3</t>
        </is>
      </c>
      <c r="H1" s="1" t="inlineStr">
        <is>
          <t>FY+1 (Downside)</t>
        </is>
      </c>
      <c r="I1" s="1" t="inlineStr">
        <is>
          <t>FY+2 (Downside)</t>
        </is>
      </c>
      <c r="J1" s="1" t="inlineStr">
        <is>
          <t>FY+3 (Downside)</t>
        </is>
      </c>
    </row>
    <row r="2">
      <c r="A2" s="2" t="inlineStr">
        <is>
          <t>Profit &amp; Loss</t>
        </is>
      </c>
    </row>
    <row r="3">
      <c r="A3" t="inlineStr">
        <is>
          <t>Revenue</t>
        </is>
      </c>
    </row>
    <row r="4">
      <c r="A4" t="inlineStr">
        <is>
          <t>Cost of Goods Sold</t>
        </is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  <c r="H5">
        <f>H3-H4</f>
        <v/>
      </c>
      <c r="I5">
        <f>I3-I4</f>
        <v/>
      </c>
      <c r="J5">
        <f>J3-J4</f>
        <v/>
      </c>
    </row>
    <row r="6">
      <c r="A6" t="inlineStr">
        <is>
          <t>Gross Profit Margin %</t>
        </is>
      </c>
      <c r="B6">
        <f>IFERROR(IF((B3)&gt;0,(B5)/(B3),"N/A"),"N/A")</f>
        <v/>
      </c>
      <c r="C6">
        <f>IFERROR(IF((C3)&gt;0,(C5)/(C3),"N/A"),"N/A")</f>
        <v/>
      </c>
      <c r="D6">
        <f>IFERROR(IF((D3)&gt;0,(D5)/(D3),"N/A"),"N/A")</f>
        <v/>
      </c>
      <c r="E6">
        <f>IFERROR(IF((E3)&gt;0,(E5)/(E3),"N/A"),"N/A")</f>
        <v/>
      </c>
      <c r="F6">
        <f>IFERROR(IF((F3)&gt;0,(F5)/(F3),"N/A"),"N/A")</f>
        <v/>
      </c>
      <c r="G6">
        <f>IFERROR(IF((G3)&gt;0,(G5)/(G3),"N/A"),"N/A")</f>
        <v/>
      </c>
      <c r="H6">
        <f>IFERROR(IF((H3)&gt;0,(H5)/(H3),"N/A"),"N/A")</f>
        <v/>
      </c>
      <c r="I6">
        <f>IFERROR(IF((I3)&gt;0,(I5)/(I3),"N/A"),"N/A")</f>
        <v/>
      </c>
      <c r="J6">
        <f>IFERROR(IF((J3)&gt;0,(J5)/(J3),"N/A"),"N/A")</f>
        <v/>
      </c>
    </row>
    <row r="7">
      <c r="A7" t="inlineStr">
        <is>
          <t>Admin Expenses</t>
        </is>
      </c>
    </row>
    <row r="8">
      <c r="A8" t="inlineStr">
        <is>
          <t>Depreciation</t>
        </is>
      </c>
    </row>
    <row r="9">
      <c r="A9" t="inlineStr">
        <is>
          <t>Amortisation</t>
        </is>
      </c>
    </row>
    <row r="10">
      <c r="A10" t="inlineStr">
        <is>
          <t>Other Income</t>
        </is>
      </c>
    </row>
    <row r="11">
      <c r="A11" t="inlineStr">
        <is>
          <t>Operating Profit</t>
        </is>
      </c>
      <c r="B11">
        <f>B5-B7-B8-B9+B10</f>
        <v/>
      </c>
      <c r="C11">
        <f>C5-C7-C8-C9+C10</f>
        <v/>
      </c>
      <c r="D11">
        <f>D5-D7-D8-D9+D10</f>
        <v/>
      </c>
      <c r="E11">
        <f>E5-E7-E8-E9+E10</f>
        <v/>
      </c>
      <c r="F11">
        <f>F5-F7-F8-F9+F10</f>
        <v/>
      </c>
      <c r="G11">
        <f>G5-G7-G8-G9+G10</f>
        <v/>
      </c>
      <c r="H11">
        <f>H5-H7-H8-H9+H10</f>
        <v/>
      </c>
      <c r="I11">
        <f>I5-I7-I8-I9+I10</f>
        <v/>
      </c>
      <c r="J11">
        <f>J5-J7-J8-J9+J10</f>
        <v/>
      </c>
    </row>
    <row r="12">
      <c r="A12" t="inlineStr">
        <is>
          <t>Operating Margin %</t>
        </is>
      </c>
      <c r="B12">
        <f>IFERROR(IF((B3)&gt;0,(B11)/(B3),"N/A"),"N/A")</f>
        <v/>
      </c>
      <c r="C12">
        <f>IFERROR(IF((C3)&gt;0,(C11)/(C3),"N/A"),"N/A")</f>
        <v/>
      </c>
      <c r="D12">
        <f>IFERROR(IF((D3)&gt;0,(D11)/(D3),"N/A"),"N/A")</f>
        <v/>
      </c>
      <c r="E12">
        <f>IFERROR(IF((E3)&gt;0,(E11)/(E3),"N/A"),"N/A")</f>
        <v/>
      </c>
      <c r="F12">
        <f>IFERROR(IF((F3)&gt;0,(F11)/(F3),"N/A"),"N/A")</f>
        <v/>
      </c>
      <c r="G12">
        <f>IFERROR(IF((G3)&gt;0,(G11)/(G3),"N/A"),"N/A")</f>
        <v/>
      </c>
      <c r="H12">
        <f>IFERROR(IF((H3)&gt;0,(H11)/(H3),"N/A"),"N/A")</f>
        <v/>
      </c>
      <c r="I12">
        <f>IFERROR(IF((I3)&gt;0,(I11)/(I3),"N/A"),"N/A")</f>
        <v/>
      </c>
      <c r="J12">
        <f>IFERROR(IF((J3)&gt;0,(J11)/(J3),"N/A"),"N/A")</f>
        <v/>
      </c>
    </row>
    <row r="13">
      <c r="A13" t="inlineStr">
        <is>
          <t>EBITDA</t>
        </is>
      </c>
      <c r="B13">
        <f>B11+B8+B9</f>
        <v/>
      </c>
      <c r="C13">
        <f>C11+C8+C9</f>
        <v/>
      </c>
      <c r="D13">
        <f>D11+D8+D9</f>
        <v/>
      </c>
      <c r="E13">
        <f>E11+E8+E9</f>
        <v/>
      </c>
      <c r="F13">
        <f>F11+F8+F9</f>
        <v/>
      </c>
      <c r="G13">
        <f>G11+G8+G9</f>
        <v/>
      </c>
      <c r="H13">
        <f>H11+H8+H9</f>
        <v/>
      </c>
      <c r="I13">
        <f>I11+I8+I9</f>
        <v/>
      </c>
      <c r="J13">
        <f>J11+J8+J9</f>
        <v/>
      </c>
    </row>
    <row r="14">
      <c r="A14" t="inlineStr">
        <is>
          <t>Interest Paid</t>
        </is>
      </c>
    </row>
    <row r="15">
      <c r="A15" t="inlineStr">
        <is>
          <t>Interest Received</t>
        </is>
      </c>
    </row>
    <row r="16">
      <c r="A16" t="inlineStr">
        <is>
          <t>Scheduled Principal Repayment</t>
        </is>
      </c>
    </row>
    <row r="17">
      <c r="A17" t="inlineStr">
        <is>
          <t>Capital Expenditure</t>
        </is>
      </c>
    </row>
    <row r="18">
      <c r="A18" t="inlineStr">
        <is>
          <t>Exceptional Costs / (Income)</t>
        </is>
      </c>
    </row>
    <row r="19">
      <c r="A19" t="inlineStr">
        <is>
          <t>Profit Before Tax</t>
        </is>
      </c>
      <c r="B19">
        <f>B11-B14+B15-B18</f>
        <v/>
      </c>
      <c r="C19">
        <f>C11-C14+C15-C18</f>
        <v/>
      </c>
      <c r="D19">
        <f>D11-D14+D15-D18</f>
        <v/>
      </c>
      <c r="E19">
        <f>E11-E14+E15-E18</f>
        <v/>
      </c>
      <c r="F19">
        <f>F11-F14+F15-F18</f>
        <v/>
      </c>
      <c r="G19">
        <f>G11-G14+G15-G18</f>
        <v/>
      </c>
      <c r="H19">
        <f>H11-H14+H15-H18</f>
        <v/>
      </c>
      <c r="I19">
        <f>I11-I14+I15-I18</f>
        <v/>
      </c>
      <c r="J19">
        <f>J11-J14+J15-J18</f>
        <v/>
      </c>
    </row>
    <row r="20">
      <c r="A20" t="inlineStr">
        <is>
          <t>Tax</t>
        </is>
      </c>
    </row>
    <row r="21">
      <c r="A21" t="inlineStr">
        <is>
          <t>Net Profit</t>
        </is>
      </c>
      <c r="B21">
        <f>B19-B20</f>
        <v/>
      </c>
      <c r="C21">
        <f>C19-C20</f>
        <v/>
      </c>
      <c r="D21">
        <f>D19-D20</f>
        <v/>
      </c>
      <c r="E21">
        <f>E19-E20</f>
        <v/>
      </c>
      <c r="F21">
        <f>F19-F20</f>
        <v/>
      </c>
      <c r="G21">
        <f>G19-G20</f>
        <v/>
      </c>
      <c r="H21">
        <f>H19-H20</f>
        <v/>
      </c>
      <c r="I21">
        <f>I19-I20</f>
        <v/>
      </c>
      <c r="J21">
        <f>J19-J20</f>
        <v/>
      </c>
    </row>
    <row r="22">
      <c r="A22" s="2" t="inlineStr">
        <is>
          <t>Key Ratios</t>
        </is>
      </c>
    </row>
    <row r="23">
      <c r="A23" t="inlineStr">
        <is>
          <t>DSCR</t>
        </is>
      </c>
      <c r="B23">
        <f>IFERROR(IF((B14+B16)&gt;0,(B13)/(B14+B16),"N/A"),"N/A")</f>
        <v/>
      </c>
      <c r="C23">
        <f>IFERROR(IF((C14+C16)&gt;0,(C13)/(C14+C16),"N/A"),"N/A")</f>
        <v/>
      </c>
      <c r="D23">
        <f>IFERROR(IF((D14+D16)&gt;0,(D13)/(D14+D16),"N/A"),"N/A")</f>
        <v/>
      </c>
      <c r="E23">
        <f>IFERROR(IF((E14+E16)&gt;0,(E13)/(E14+E16),"N/A"),"N/A")</f>
        <v/>
      </c>
      <c r="F23">
        <f>IFERROR(IF((F14+F16)&gt;0,(F13)/(F14+F16),"N/A"),"N/A")</f>
        <v/>
      </c>
      <c r="G23">
        <f>IFERROR(IF((G14+G16)&gt;0,(G13)/(G14+G16),"N/A"),"N/A")</f>
        <v/>
      </c>
      <c r="H23">
        <f>IFERROR(IF((H14+H16)&gt;0,(H13)/(H14+H16),"N/A"),"N/A")</f>
        <v/>
      </c>
      <c r="I23">
        <f>IFERROR(IF((I14+I16)&gt;0,(I13)/(I14+I16),"N/A"),"N/A")</f>
        <v/>
      </c>
      <c r="J23">
        <f>IFERROR(IF((J14+J16)&gt;0,(J13)/(J14+J16),"N/A"),"N/A")</f>
        <v/>
      </c>
    </row>
    <row r="24">
      <c r="A24" t="inlineStr">
        <is>
          <t>EBIT/Interest</t>
        </is>
      </c>
      <c r="B24">
        <f>IFERROR(IF((B14)&gt;0,(B11)/(B14),"N/A"),"N/A")</f>
        <v/>
      </c>
      <c r="C24">
        <f>IFERROR(IF((C14)&gt;0,(C11)/(C14),"N/A"),"N/A")</f>
        <v/>
      </c>
      <c r="D24">
        <f>IFERROR(IF((D14)&gt;0,(D11)/(D14),"N/A"),"N/A")</f>
        <v/>
      </c>
      <c r="E24">
        <f>IFERROR(IF((E14)&gt;0,(E11)/(E14),"N/A"),"N/A")</f>
        <v/>
      </c>
      <c r="F24">
        <f>IFERROR(IF((F14)&gt;0,(F11)/(F14),"N/A"),"N/A")</f>
        <v/>
      </c>
      <c r="G24">
        <f>IFERROR(IF((G14)&gt;0,(G11)/(G14),"N/A"),"N/A")</f>
        <v/>
      </c>
      <c r="H24">
        <f>IFERROR(IF((H14)&gt;0,(H11)/(H14),"N/A"),"N/A")</f>
        <v/>
      </c>
      <c r="I24">
        <f>IFERROR(IF((I14)&gt;0,(I11)/(I14),"N/A"),"N/A")</f>
        <v/>
      </c>
      <c r="J24">
        <f>IFERROR(IF((J14)&gt;0,(J11)/(J14),"N/A"),"N/A")</f>
        <v/>
      </c>
    </row>
    <row r="25">
      <c r="A25" t="inlineStr">
        <is>
          <t>EBITDA/Interest</t>
        </is>
      </c>
      <c r="B25">
        <f>IFERROR(IF((B14)&gt;0,(B13)/(B14),"N/A"),"N/A")</f>
        <v/>
      </c>
      <c r="C25">
        <f>IFERROR(IF((C14)&gt;0,(C13)/(C14),"N/A"),"N/A")</f>
        <v/>
      </c>
      <c r="D25">
        <f>IFERROR(IF((D14)&gt;0,(D13)/(D14),"N/A"),"N/A")</f>
        <v/>
      </c>
      <c r="E25">
        <f>IFERROR(IF((E14)&gt;0,(E13)/(E14),"N/A"),"N/A")</f>
        <v/>
      </c>
      <c r="F25">
        <f>IFERROR(IF((F14)&gt;0,(F13)/(F14),"N/A"),"N/A")</f>
        <v/>
      </c>
      <c r="G25">
        <f>IFERROR(IF((G14)&gt;0,(G13)/(G14),"N/A"),"N/A")</f>
        <v/>
      </c>
      <c r="H25">
        <f>IFERROR(IF((H14)&gt;0,(H13)/(H14),"N/A"),"N/A")</f>
        <v/>
      </c>
      <c r="I25">
        <f>IFERROR(IF((I14)&gt;0,(I13)/(I14),"N/A"),"N/A")</f>
        <v/>
      </c>
      <c r="J25">
        <f>IFERROR(IF((J14)&gt;0,(J13)/(J14),"N/A"),"N/A")</f>
        <v/>
      </c>
    </row>
    <row r="26">
      <c r="A26" t="inlineStr">
        <is>
          <t>FCF</t>
        </is>
      </c>
      <c r="B26">
        <f>B13-B17-B20-B14+B15</f>
        <v/>
      </c>
      <c r="C26">
        <f>C13-C17-C20-C14+C15</f>
        <v/>
      </c>
      <c r="D26">
        <f>D13-D17-D20-D14+D15</f>
        <v/>
      </c>
      <c r="E26">
        <f>E13-E17-E20-E14+E15</f>
        <v/>
      </c>
      <c r="F26">
        <f>F13-F17-F20-F14+F15</f>
        <v/>
      </c>
      <c r="G26">
        <f>G13-G17-G20-G14+G15</f>
        <v/>
      </c>
      <c r="H26">
        <f>H13-H17-H20-H14+H15</f>
        <v/>
      </c>
      <c r="I26">
        <f>I13-I17-I20-I14+I15</f>
        <v/>
      </c>
      <c r="J26">
        <f>J13-J17-J20-J14+J15</f>
        <v/>
      </c>
    </row>
    <row r="27">
      <c r="A27" t="inlineStr">
        <is>
          <t>FCF Conversion %</t>
        </is>
      </c>
      <c r="B27">
        <f>IFERROR(IF((B13)&gt;0,(B26)/(B13),"N/A"),"N/A")</f>
        <v/>
      </c>
      <c r="C27">
        <f>IFERROR(IF((C13)&gt;0,(C26)/(C13),"N/A"),"N/A")</f>
        <v/>
      </c>
      <c r="D27">
        <f>IFERROR(IF((D13)&gt;0,(D26)/(D13),"N/A"),"N/A")</f>
        <v/>
      </c>
      <c r="E27">
        <f>IFERROR(IF((E13)&gt;0,(E26)/(E13),"N/A"),"N/A")</f>
        <v/>
      </c>
      <c r="F27">
        <f>IFERROR(IF((F13)&gt;0,(F26)/(F13),"N/A"),"N/A")</f>
        <v/>
      </c>
      <c r="G27">
        <f>IFERROR(IF((G13)&gt;0,(G26)/(G13),"N/A"),"N/A")</f>
        <v/>
      </c>
      <c r="H27">
        <f>IFERROR(IF((H13)&gt;0,(H26)/(H13),"N/A"),"N/A")</f>
        <v/>
      </c>
      <c r="I27">
        <f>IFERROR(IF((I13)&gt;0,(I26)/(I13),"N/A"),"N/A")</f>
        <v/>
      </c>
      <c r="J27">
        <f>IFERROR(IF((J13)&gt;0,(J26)/(J13),"N/A"),"N/A")</f>
        <v/>
      </c>
    </row>
    <row r="28">
      <c r="A28" s="2" t="inlineStr">
        <is>
          <t>Balance Sheet</t>
        </is>
      </c>
    </row>
    <row r="29">
      <c r="A29" t="inlineStr">
        <is>
          <t>Tangible Fixed Assets</t>
        </is>
      </c>
    </row>
    <row r="30">
      <c r="A30" t="inlineStr">
        <is>
          <t>Intangible Fixed Assets</t>
        </is>
      </c>
    </row>
    <row r="31">
      <c r="A31" t="inlineStr">
        <is>
          <t>Investments</t>
        </is>
      </c>
    </row>
    <row r="32">
      <c r="A32" t="inlineStr">
        <is>
          <t>Total Fixed Assets</t>
        </is>
      </c>
      <c r="B32">
        <f>B29+B30+B31</f>
        <v/>
      </c>
      <c r="C32">
        <f>C29+C30+C31</f>
        <v/>
      </c>
      <c r="D32">
        <f>D29+D30+D31</f>
        <v/>
      </c>
      <c r="E32">
        <f>E29+E30+E31</f>
        <v/>
      </c>
      <c r="F32">
        <f>F29+F30+F31</f>
        <v/>
      </c>
      <c r="G32">
        <f>G29+G30+G31</f>
        <v/>
      </c>
      <c r="H32">
        <f>H29+H30+H31</f>
        <v/>
      </c>
      <c r="I32">
        <f>I29+I30+I31</f>
        <v/>
      </c>
      <c r="J32">
        <f>J29+J30+J31</f>
        <v/>
      </c>
    </row>
    <row r="33">
      <c r="A33" t="inlineStr">
        <is>
          <t>Cash</t>
        </is>
      </c>
    </row>
    <row r="34">
      <c r="A34" t="inlineStr">
        <is>
          <t>Accounts Receivable</t>
        </is>
      </c>
    </row>
    <row r="35">
      <c r="A35" t="inlineStr">
        <is>
          <t>Stock</t>
        </is>
      </c>
    </row>
    <row r="36">
      <c r="A36" t="inlineStr">
        <is>
          <t>Other Current Assets</t>
        </is>
      </c>
    </row>
    <row r="37">
      <c r="A37" t="inlineStr">
        <is>
          <t>Total Current Assets</t>
        </is>
      </c>
      <c r="B37">
        <f>B33+B34+B35+B36</f>
        <v/>
      </c>
      <c r="C37">
        <f>C33+C34+C35+C36</f>
        <v/>
      </c>
      <c r="D37">
        <f>D33+D34+D35+D36</f>
        <v/>
      </c>
      <c r="E37">
        <f>E33+E34+E35+E36</f>
        <v/>
      </c>
      <c r="F37">
        <f>F33+F34+F35+F36</f>
        <v/>
      </c>
      <c r="G37">
        <f>G33+G34+G35+G36</f>
        <v/>
      </c>
      <c r="H37">
        <f>H33+H34+H35+H36</f>
        <v/>
      </c>
      <c r="I37">
        <f>I33+I34+I35+I36</f>
        <v/>
      </c>
      <c r="J37">
        <f>J33+J34+J35+J36</f>
        <v/>
      </c>
    </row>
    <row r="38">
      <c r="A38" t="inlineStr">
        <is>
          <t>Total Assets</t>
        </is>
      </c>
      <c r="B38">
        <f>B32+B37</f>
        <v/>
      </c>
      <c r="C38">
        <f>C32+C37</f>
        <v/>
      </c>
      <c r="D38">
        <f>D32+D37</f>
        <v/>
      </c>
      <c r="E38">
        <f>E32+E37</f>
        <v/>
      </c>
      <c r="F38">
        <f>F32+F37</f>
        <v/>
      </c>
      <c r="G38">
        <f>G32+G37</f>
        <v/>
      </c>
      <c r="H38">
        <f>H32+H37</f>
        <v/>
      </c>
      <c r="I38">
        <f>I32+I37</f>
        <v/>
      </c>
      <c r="J38">
        <f>J32+J37</f>
        <v/>
      </c>
    </row>
    <row r="39">
      <c r="A39" t="inlineStr">
        <is>
          <t>Accounts Payable</t>
        </is>
      </c>
    </row>
    <row r="40">
      <c r="A40" t="inlineStr">
        <is>
          <t>Current Portion - Debt</t>
        </is>
      </c>
    </row>
    <row r="41">
      <c r="A41" t="inlineStr">
        <is>
          <t>Overdraft / Revolving Debt</t>
        </is>
      </c>
    </row>
    <row r="42">
      <c r="A42" t="inlineStr">
        <is>
          <t>Other Current Liabilities</t>
        </is>
      </c>
    </row>
    <row r="43">
      <c r="A43" t="inlineStr">
        <is>
          <t>Total Current Liabilities</t>
        </is>
      </c>
      <c r="B43">
        <f>B39+B40+B41+B42</f>
        <v/>
      </c>
      <c r="C43">
        <f>C39+C40+C41+C42</f>
        <v/>
      </c>
      <c r="D43">
        <f>D39+D40+D41+D42</f>
        <v/>
      </c>
      <c r="E43">
        <f>E39+E40+E41+E42</f>
        <v/>
      </c>
      <c r="F43">
        <f>F39+F40+F41+F42</f>
        <v/>
      </c>
      <c r="G43">
        <f>G39+G40+G41+G42</f>
        <v/>
      </c>
      <c r="H43">
        <f>H39+H40+H41+H42</f>
        <v/>
      </c>
      <c r="I43">
        <f>I39+I40+I41+I42</f>
        <v/>
      </c>
      <c r="J43">
        <f>J39+J40+J41+J42</f>
        <v/>
      </c>
    </row>
    <row r="44">
      <c r="A44" t="inlineStr">
        <is>
          <t>Long Term Debt</t>
        </is>
      </c>
    </row>
    <row r="45">
      <c r="A45" t="inlineStr">
        <is>
          <t>Loan Notes / Preference Shares</t>
        </is>
      </c>
    </row>
    <row r="46">
      <c r="A46" t="inlineStr">
        <is>
          <t>Other Long Term Liabilities</t>
        </is>
      </c>
    </row>
    <row r="47">
      <c r="A47" t="inlineStr">
        <is>
          <t>Provisions</t>
        </is>
      </c>
    </row>
    <row r="48">
      <c r="A48" t="inlineStr">
        <is>
          <t>Total Long Term Liabilities</t>
        </is>
      </c>
      <c r="B48">
        <f>B44+B45+B46+B47</f>
        <v/>
      </c>
      <c r="C48">
        <f>C44+C45+C46+C47</f>
        <v/>
      </c>
      <c r="D48">
        <f>D44+D45+D46+D47</f>
        <v/>
      </c>
      <c r="E48">
        <f>E44+E45+E46+E47</f>
        <v/>
      </c>
      <c r="F48">
        <f>F44+F45+F46+F47</f>
        <v/>
      </c>
      <c r="G48">
        <f>G44+G45+G46+G47</f>
        <v/>
      </c>
      <c r="H48">
        <f>H44+H45+H46+H47</f>
        <v/>
      </c>
      <c r="I48">
        <f>I44+I45+I46+I47</f>
        <v/>
      </c>
      <c r="J48">
        <f>J44+J45+J46+J47</f>
        <v/>
      </c>
    </row>
    <row r="49">
      <c r="A49" t="inlineStr">
        <is>
          <t>Total Liabilities</t>
        </is>
      </c>
      <c r="B49">
        <f>B43+B48</f>
        <v/>
      </c>
      <c r="C49">
        <f>C43+C48</f>
        <v/>
      </c>
      <c r="D49">
        <f>D43+D48</f>
        <v/>
      </c>
      <c r="E49">
        <f>E43+E48</f>
        <v/>
      </c>
      <c r="F49">
        <f>F43+F48</f>
        <v/>
      </c>
      <c r="G49">
        <f>G43+G48</f>
        <v/>
      </c>
      <c r="H49">
        <f>H43+H48</f>
        <v/>
      </c>
      <c r="I49">
        <f>I43+I48</f>
        <v/>
      </c>
      <c r="J49">
        <f>J43+J48</f>
        <v/>
      </c>
    </row>
    <row r="50">
      <c r="A50" t="inlineStr">
        <is>
          <t>Share Capital</t>
        </is>
      </c>
    </row>
    <row r="51">
      <c r="A51" t="inlineStr">
        <is>
          <t>Retained Profit</t>
        </is>
      </c>
    </row>
    <row r="52">
      <c r="A52" t="inlineStr">
        <is>
          <t>Total Equity</t>
        </is>
      </c>
      <c r="B52">
        <f>B50+B51</f>
        <v/>
      </c>
      <c r="C52">
        <f>C50+C51</f>
        <v/>
      </c>
      <c r="D52">
        <f>D50+D51</f>
        <v/>
      </c>
      <c r="E52">
        <f>E50+E51</f>
        <v/>
      </c>
      <c r="F52">
        <f>F50+F51</f>
        <v/>
      </c>
      <c r="G52">
        <f>G50+G51</f>
        <v/>
      </c>
      <c r="H52">
        <f>H50+H51</f>
        <v/>
      </c>
      <c r="I52">
        <f>I50+I51</f>
        <v/>
      </c>
      <c r="J52">
        <f>J50+J51</f>
        <v/>
      </c>
    </row>
    <row r="53">
      <c r="A53" s="2" t="inlineStr">
        <is>
          <t>Key Credit Metrics</t>
        </is>
      </c>
    </row>
    <row r="54">
      <c r="A54" t="inlineStr">
        <is>
          <t>Tangible Net Worth (TNW)</t>
        </is>
      </c>
      <c r="B54">
        <f>B52-B30</f>
        <v/>
      </c>
      <c r="C54">
        <f>C52-C30</f>
        <v/>
      </c>
      <c r="D54">
        <f>D52-D30</f>
        <v/>
      </c>
      <c r="E54">
        <f>E52-E30</f>
        <v/>
      </c>
      <c r="F54">
        <f>F52-F30</f>
        <v/>
      </c>
      <c r="G54">
        <f>G52-G30</f>
        <v/>
      </c>
      <c r="H54">
        <f>H52-H30</f>
        <v/>
      </c>
      <c r="I54">
        <f>I52-I30</f>
        <v/>
      </c>
      <c r="J54">
        <f>J52-J30</f>
        <v/>
      </c>
    </row>
    <row r="55">
      <c r="A55" t="inlineStr">
        <is>
          <t>TNW + Loan Notes / Preference Shares</t>
        </is>
      </c>
      <c r="B55">
        <f>B54+B45</f>
        <v/>
      </c>
      <c r="C55">
        <f>C54+C45</f>
        <v/>
      </c>
      <c r="D55">
        <f>D54+D45</f>
        <v/>
      </c>
      <c r="E55">
        <f>E54+E45</f>
        <v/>
      </c>
      <c r="F55">
        <f>F54+F45</f>
        <v/>
      </c>
      <c r="G55">
        <f>G54+G45</f>
        <v/>
      </c>
      <c r="H55">
        <f>H54+H45</f>
        <v/>
      </c>
      <c r="I55">
        <f>I54+I45</f>
        <v/>
      </c>
      <c r="J55">
        <f>J54+J45</f>
        <v/>
      </c>
    </row>
    <row r="56">
      <c r="A56" t="inlineStr">
        <is>
          <t>Gearing % (Interest-Bearing Debt / Equity)</t>
        </is>
      </c>
      <c r="B56">
        <f>IFERROR(IF((B52)&gt;0,(B40+B41+B44+B45)/(B52),"N/A"),"N/A")</f>
        <v/>
      </c>
      <c r="C56">
        <f>IFERROR(IF((C52)&gt;0,(C40+C41+C44+C45)/(C52),"N/A"),"N/A")</f>
        <v/>
      </c>
      <c r="D56">
        <f>IFERROR(IF((D52)&gt;0,(D40+D41+D44+D45)/(D52),"N/A"),"N/A")</f>
        <v/>
      </c>
      <c r="E56">
        <f>IFERROR(IF((E52)&gt;0,(E40+E41+E44+E45)/(E52),"N/A"),"N/A")</f>
        <v/>
      </c>
      <c r="F56">
        <f>IFERROR(IF((F52)&gt;0,(F40+F41+F44+F45)/(F52),"N/A"),"N/A")</f>
        <v/>
      </c>
      <c r="G56">
        <f>IFERROR(IF((G52)&gt;0,(G40+G41+G44+G45)/(G52),"N/A"),"N/A")</f>
        <v/>
      </c>
      <c r="H56">
        <f>IFERROR(IF((H52)&gt;0,(H40+H41+H44+H45)/(H52),"N/A"),"N/A")</f>
        <v/>
      </c>
      <c r="I56">
        <f>IFERROR(IF((I52)&gt;0,(I40+I41+I44+I45)/(I52),"N/A"),"N/A")</f>
        <v/>
      </c>
      <c r="J56">
        <f>IFERROR(IF((J52)&gt;0,(J40+J41+J44+J45)/(J52),"N/A"),"N/A")</f>
        <v/>
      </c>
    </row>
    <row r="57">
      <c r="A57" t="inlineStr">
        <is>
          <t>Current Ratio</t>
        </is>
      </c>
      <c r="B57">
        <f>IFERROR(IF((B43)&gt;0,(B37)/(B43),"N/A"),"N/A")</f>
        <v/>
      </c>
      <c r="C57">
        <f>IFERROR(IF((C43)&gt;0,(C37)/(C43),"N/A"),"N/A")</f>
        <v/>
      </c>
      <c r="D57">
        <f>IFERROR(IF((D43)&gt;0,(D37)/(D43),"N/A"),"N/A")</f>
        <v/>
      </c>
      <c r="E57">
        <f>IFERROR(IF((E43)&gt;0,(E37)/(E43),"N/A"),"N/A")</f>
        <v/>
      </c>
      <c r="F57">
        <f>IFERROR(IF((F43)&gt;0,(F37)/(F43),"N/A"),"N/A")</f>
        <v/>
      </c>
      <c r="G57">
        <f>IFERROR(IF((G43)&gt;0,(G37)/(G43),"N/A"),"N/A")</f>
        <v/>
      </c>
      <c r="H57">
        <f>IFERROR(IF((H43)&gt;0,(H37)/(H43),"N/A"),"N/A")</f>
        <v/>
      </c>
      <c r="I57">
        <f>IFERROR(IF((I43)&gt;0,(I37)/(I43),"N/A"),"N/A")</f>
        <v/>
      </c>
      <c r="J57">
        <f>IFERROR(IF((J43)&gt;0,(J37)/(J43),"N/A"),"N/A")</f>
        <v/>
      </c>
    </row>
    <row r="58">
      <c r="A58" t="inlineStr">
        <is>
          <t>Gross Leverage</t>
        </is>
      </c>
      <c r="B58">
        <f>IFERROR(IF((B13)&gt;0,(B40+B41+B44+B45)/(B13),"N/A"),"N/A")</f>
        <v/>
      </c>
      <c r="C58">
        <f>IFERROR(IF((C13)&gt;0,(C40+C41+C44+C45)/(C13),"N/A"),"N/A")</f>
        <v/>
      </c>
      <c r="D58">
        <f>IFERROR(IF((D13)&gt;0,(D40+D41+D44+D45)/(D13),"N/A"),"N/A")</f>
        <v/>
      </c>
      <c r="E58">
        <f>IFERROR(IF((E13)&gt;0,(E40+E41+E44+E45)/(E13),"N/A"),"N/A")</f>
        <v/>
      </c>
      <c r="F58">
        <f>IFERROR(IF((F13)&gt;0,(F40+F41+F44+F45)/(F13),"N/A"),"N/A")</f>
        <v/>
      </c>
      <c r="G58">
        <f>IFERROR(IF((G13)&gt;0,(G40+G41+G44+G45)/(G13),"N/A"),"N/A")</f>
        <v/>
      </c>
      <c r="H58">
        <f>IFERROR(IF((H13)&gt;0,(H40+H41+H44+H45)/(H13),"N/A"),"N/A")</f>
        <v/>
      </c>
      <c r="I58">
        <f>IFERROR(IF((I13)&gt;0,(I40+I41+I44+I45)/(I13),"N/A"),"N/A")</f>
        <v/>
      </c>
      <c r="J58">
        <f>IFERROR(IF((J13)&gt;0,(J40+J41+J44+J45)/(J13),"N/A"),"N/A")</f>
        <v/>
      </c>
    </row>
    <row r="59">
      <c r="A59" t="inlineStr">
        <is>
          <t>Net Debt / EBITDA</t>
        </is>
      </c>
      <c r="B59">
        <f>IFERROR(IF((B13)&gt;0,(B40+B41+B44+B45-B33)/(B13),"N/A"),"N/A")</f>
        <v/>
      </c>
      <c r="C59">
        <f>IFERROR(IF((C13)&gt;0,(C40+C41+C44+C45-C33)/(C13),"N/A"),"N/A")</f>
        <v/>
      </c>
      <c r="D59">
        <f>IFERROR(IF((D13)&gt;0,(D40+D41+D44+D45-D33)/(D13),"N/A"),"N/A")</f>
        <v/>
      </c>
      <c r="E59">
        <f>IFERROR(IF((E13)&gt;0,(E40+E41+E44+E45-E33)/(E13),"N/A"),"N/A")</f>
        <v/>
      </c>
      <c r="F59">
        <f>IFERROR(IF((F13)&gt;0,(F40+F41+F44+F45-F33)/(F13),"N/A"),"N/A")</f>
        <v/>
      </c>
      <c r="G59">
        <f>IFERROR(IF((G13)&gt;0,(G40+G41+G44+G45-G33)/(G13),"N/A"),"N/A")</f>
        <v/>
      </c>
      <c r="H59">
        <f>IFERROR(IF((H13)&gt;0,(H40+H41+H44+H45-H33)/(H13),"N/A"),"N/A")</f>
        <v/>
      </c>
      <c r="I59">
        <f>IFERROR(IF((I13)&gt;0,(I40+I41+I44+I45-I33)/(I13),"N/A"),"N/A")</f>
        <v/>
      </c>
      <c r="J59">
        <f>IFERROR(IF((J13)&gt;0,(J40+J41+J44+J45-J33)/(J13),"N/A"),"N/A")</f>
        <v/>
      </c>
    </row>
    <row r="60">
      <c r="A60" s="2" t="inlineStr">
        <is>
          <t>Working Capital</t>
        </is>
      </c>
    </row>
    <row r="61">
      <c r="A61" t="inlineStr">
        <is>
          <t>Trade Debtor Days</t>
        </is>
      </c>
      <c r="B61">
        <f>IFERROR(IF((B3)&gt;0,(B34)/(B3)*365,"N/A"),"N/A")</f>
        <v/>
      </c>
      <c r="C61">
        <f>IFERROR(IF((C3)&gt;0,(C34)/(C3)*365,"N/A"),"N/A")</f>
        <v/>
      </c>
      <c r="D61">
        <f>IFERROR(IF((D3)&gt;0,(D34)/(D3)*365,"N/A"),"N/A")</f>
        <v/>
      </c>
      <c r="E61">
        <f>IFERROR(IF((E3)&gt;0,(E34)/(E3)*365,"N/A"),"N/A")</f>
        <v/>
      </c>
      <c r="F61">
        <f>IFERROR(IF((F3)&gt;0,(F34)/(F3)*365,"N/A"),"N/A")</f>
        <v/>
      </c>
      <c r="G61">
        <f>IFERROR(IF((G3)&gt;0,(G34)/(G3)*365,"N/A"),"N/A")</f>
        <v/>
      </c>
      <c r="H61">
        <f>IFERROR(IF((H3)&gt;0,(H34)/(H3)*365,"N/A"),"N/A")</f>
        <v/>
      </c>
      <c r="I61">
        <f>IFERROR(IF((I3)&gt;0,(I34)/(I3)*365,"N/A"),"N/A")</f>
        <v/>
      </c>
      <c r="J61">
        <f>IFERROR(IF((J3)&gt;0,(J34)/(J3)*365,"N/A"),"N/A")</f>
        <v/>
      </c>
    </row>
    <row r="62">
      <c r="A62" t="inlineStr">
        <is>
          <t>Trade Creditor Days</t>
        </is>
      </c>
      <c r="B62">
        <f>IFERROR(IF((B4)&gt;0,(B39)/(B4)*365,"N/A"),"N/A")</f>
        <v/>
      </c>
      <c r="C62">
        <f>IFERROR(IF((C4)&gt;0,(C39)/(C4)*365,"N/A"),"N/A")</f>
        <v/>
      </c>
      <c r="D62">
        <f>IFERROR(IF((D4)&gt;0,(D39)/(D4)*365,"N/A"),"N/A")</f>
        <v/>
      </c>
      <c r="E62">
        <f>IFERROR(IF((E4)&gt;0,(E39)/(E4)*365,"N/A"),"N/A")</f>
        <v/>
      </c>
      <c r="F62">
        <f>IFERROR(IF((F4)&gt;0,(F39)/(F4)*365,"N/A"),"N/A")</f>
        <v/>
      </c>
      <c r="G62">
        <f>IFERROR(IF((G4)&gt;0,(G39)/(G4)*365,"N/A"),"N/A")</f>
        <v/>
      </c>
      <c r="H62">
        <f>IFERROR(IF((H4)&gt;0,(H39)/(H4)*365,"N/A"),"N/A")</f>
        <v/>
      </c>
      <c r="I62">
        <f>IFERROR(IF((I4)&gt;0,(I39)/(I4)*365,"N/A"),"N/A")</f>
        <v/>
      </c>
      <c r="J62">
        <f>IFERROR(IF((J4)&gt;0,(J39)/(J4)*365,"N/A"),"N/A")</f>
        <v/>
      </c>
    </row>
    <row r="63">
      <c r="A63" t="inlineStr">
        <is>
          <t>Stock Days</t>
        </is>
      </c>
      <c r="B63">
        <f>IFERROR(IF((B4)&gt;0,(B35)/(B4)*365,"N/A"),"N/A")</f>
        <v/>
      </c>
      <c r="C63">
        <f>IFERROR(IF((C4)&gt;0,(C35)/(C4)*365,"N/A"),"N/A")</f>
        <v/>
      </c>
      <c r="D63">
        <f>IFERROR(IF((D4)&gt;0,(D35)/(D4)*365,"N/A"),"N/A")</f>
        <v/>
      </c>
      <c r="E63">
        <f>IFERROR(IF((E4)&gt;0,(E35)/(E4)*365,"N/A"),"N/A")</f>
        <v/>
      </c>
      <c r="F63">
        <f>IFERROR(IF((F4)&gt;0,(F35)/(F4)*365,"N/A"),"N/A")</f>
        <v/>
      </c>
      <c r="G63">
        <f>IFERROR(IF((G4)&gt;0,(G35)/(G4)*365,"N/A"),"N/A")</f>
        <v/>
      </c>
      <c r="H63">
        <f>IFERROR(IF((H4)&gt;0,(H35)/(H4)*365,"N/A"),"N/A")</f>
        <v/>
      </c>
      <c r="I63">
        <f>IFERROR(IF((I4)&gt;0,(I35)/(I4)*365,"N/A"),"N/A")</f>
        <v/>
      </c>
      <c r="J63">
        <f>IFERROR(IF((J4)&gt;0,(J35)/(J4)*365,"N/A"),"N/A")</f>
        <v/>
      </c>
    </row>
    <row r="64">
      <c r="A64" t="inlineStr">
        <is>
          <t>Working Capital Cycle (days)</t>
        </is>
      </c>
      <c r="B64">
        <f>IFERROR(B61+B63-B62,"N/A")</f>
        <v/>
      </c>
      <c r="C64">
        <f>IFERROR(C61+C63-C62,"N/A")</f>
        <v/>
      </c>
      <c r="D64">
        <f>IFERROR(D61+D63-D62,"N/A")</f>
        <v/>
      </c>
      <c r="E64">
        <f>IFERROR(E61+E63-E62,"N/A")</f>
        <v/>
      </c>
      <c r="F64">
        <f>IFERROR(F61+F63-F62,"N/A")</f>
        <v/>
      </c>
      <c r="G64">
        <f>IFERROR(G61+G63-G62,"N/A")</f>
        <v/>
      </c>
      <c r="H64">
        <f>IFERROR(H61+H63-H62,"N/A")</f>
        <v/>
      </c>
      <c r="I64">
        <f>IFERROR(I61+I63-I62,"N/A")</f>
        <v/>
      </c>
      <c r="J64">
        <f>IFERROR(J61+J63-J62,"N/A")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Asset Class</t>
        </is>
      </c>
      <c r="B1" s="1" t="inlineStr">
        <is>
          <t>Exposure (Rental + RV)</t>
        </is>
      </c>
      <c r="C1" s="1" t="inlineStr">
        <is>
          <t>Number of Units</t>
        </is>
      </c>
      <c r="D1" s="1" t="inlineStr">
        <is>
          <t>Cap / Model Value</t>
        </is>
      </c>
      <c r="E1" s="1" t="inlineStr">
        <is>
          <t>Non-Recovery</t>
        </is>
      </c>
      <c r="F1" s="1" t="inlineStr">
        <is>
          <t>Costs</t>
        </is>
      </c>
      <c r="G1" s="1" t="inlineStr">
        <is>
          <t>Collateral Value</t>
        </is>
      </c>
      <c r="H1" s="1" t="inlineStr">
        <is>
          <t>CV % of Exposure</t>
        </is>
      </c>
      <c r="I1" s="1" t="inlineStr">
        <is>
          <t>Perfection Status</t>
        </is>
      </c>
    </row>
    <row r="2">
      <c r="H2">
        <f>IFERROR(IF(B2&gt;0,G2/B2,"N/A"),"N/A")</f>
        <v/>
      </c>
    </row>
    <row r="3">
      <c r="A3" t="inlineStr">
        <is>
          <t>Total</t>
        </is>
      </c>
      <c r="B3">
        <f>SUM(B2:B2)</f>
        <v/>
      </c>
      <c r="C3">
        <f>SUM(C2:C2)</f>
        <v/>
      </c>
      <c r="D3">
        <f>SUM(D2:D2)</f>
        <v/>
      </c>
      <c r="E3">
        <f>SUM(E2:E2)</f>
        <v/>
      </c>
      <c r="F3">
        <f>SUM(F2:F2)</f>
        <v/>
      </c>
      <c r="G3">
        <f>SUM(G2:G2)</f>
        <v/>
      </c>
      <c r="H3">
        <f>IFERROR(IF(B3&gt;0,G3/B3,"N/A"),"N/A")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2026-10-19T16:48:27Z</dcterms:created>
  <dcterms:modified xmlns:dcterms="http://purl.org/dc/terms/" xmlns:xsi="http://www.w3.org/2001/XMLSchema-instance" xsi:type="dcterms:W3CDTF">2026-10-19T16:48:27Z</dcterms:modified>
</cp:coreProperties>
</file>